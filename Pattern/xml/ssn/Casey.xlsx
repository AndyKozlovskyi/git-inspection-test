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sk\Desktop\"/>
    </mc:Choice>
  </mc:AlternateContent>
  <bookViews>
    <workbookView xWindow="480" yWindow="105" windowWidth="18180" windowHeight="8775"/>
  </bookViews>
  <sheets>
    <sheet name="活頁簿1" sheetId="1" r:id="rId1"/>
  </sheets>
  <calcPr calcId="152511"/>
</workbook>
</file>

<file path=xl/calcChain.xml><?xml version="1.0" encoding="utf-8"?>
<calcChain xmlns="http://schemas.openxmlformats.org/spreadsheetml/2006/main">
  <c r="H11" i="1" l="1"/>
  <c r="H13" i="1"/>
  <c r="J13" i="1"/>
  <c r="J14" i="1"/>
  <c r="K14" i="1"/>
  <c r="J16" i="1"/>
  <c r="J19" i="1"/>
  <c r="J22" i="1"/>
  <c r="H24" i="1"/>
  <c r="J24" i="1"/>
  <c r="K24" i="1"/>
  <c r="H28" i="1"/>
</calcChain>
</file>

<file path=xl/sharedStrings.xml><?xml version="1.0" encoding="utf-8"?>
<sst xmlns="http://schemas.openxmlformats.org/spreadsheetml/2006/main" count="309" uniqueCount="284">
  <si>
    <t>全名</t>
  </si>
  <si>
    <t>名字</t>
  </si>
  <si>
    <t>姓氏</t>
  </si>
  <si>
    <t>公司</t>
  </si>
  <si>
    <t>職稱</t>
  </si>
  <si>
    <t>部門</t>
  </si>
  <si>
    <t>商務地址</t>
  </si>
  <si>
    <t>商務電話</t>
  </si>
  <si>
    <t>住家電話</t>
  </si>
  <si>
    <t>商務傳真</t>
  </si>
  <si>
    <t>手機電話</t>
  </si>
  <si>
    <t>商務電子郵件</t>
  </si>
  <si>
    <t>商務網址</t>
  </si>
  <si>
    <t>身分證資料</t>
  </si>
  <si>
    <t>趙筱如</t>
  </si>
  <si>
    <t>筱如</t>
  </si>
  <si>
    <t>趙</t>
  </si>
  <si>
    <t>凱基證券股份有限公司</t>
  </si>
  <si>
    <t>業務副理</t>
  </si>
  <si>
    <t>國際業務部</t>
  </si>
  <si>
    <t>台北市中山區南京東路二段137號4樓 ,10485</t>
  </si>
  <si>
    <t>(02)25166789ext2536</t>
  </si>
  <si>
    <t>(02)25071032</t>
  </si>
  <si>
    <t>ashley.chao@kgi.com.tw</t>
  </si>
  <si>
    <t>www.kgi.asia</t>
  </si>
  <si>
    <t>a120584556</t>
  </si>
  <si>
    <t>張銘順</t>
  </si>
  <si>
    <t>銘順</t>
  </si>
  <si>
    <t>張</t>
  </si>
  <si>
    <t>上海熙茂科技有限公司</t>
  </si>
  <si>
    <t>高級技術顧問</t>
  </si>
  <si>
    <t>上海市閘北區共和新路2623號企聯大廈818室</t>
  </si>
  <si>
    <t>021-66313161</t>
  </si>
  <si>
    <t>021-56039135</t>
  </si>
  <si>
    <t>uts2539@gmail.com</t>
  </si>
  <si>
    <t>e120584557</t>
  </si>
  <si>
    <t>Chiao Wei</t>
  </si>
  <si>
    <t>Chiao</t>
  </si>
  <si>
    <t>Wei</t>
  </si>
  <si>
    <t>紀實影視製作有限公司</t>
  </si>
  <si>
    <t>Planning Assistant</t>
  </si>
  <si>
    <t>台北市和平東路一段183巷11弄5號1樓 ,10649</t>
  </si>
  <si>
    <t>(02)2357-0830</t>
  </si>
  <si>
    <t>(02)2357-0852</t>
  </si>
  <si>
    <t>0912-192-482</t>
  </si>
  <si>
    <t>cicewing@gmail.com</t>
  </si>
  <si>
    <t>www.trulyshots.com.tw</t>
  </si>
  <si>
    <t>c120584558</t>
  </si>
  <si>
    <t>林保成</t>
  </si>
  <si>
    <t>保成</t>
  </si>
  <si>
    <t>林</t>
  </si>
  <si>
    <t>工業技術研究院</t>
  </si>
  <si>
    <t>電能系統部</t>
  </si>
  <si>
    <t>新竹縣竹東鎮中興路四段195號58館200室 ,31040</t>
  </si>
  <si>
    <t>josepho629@itri.org.tw</t>
  </si>
  <si>
    <t>d120584559</t>
  </si>
  <si>
    <t>林金亨</t>
  </si>
  <si>
    <t>金亨</t>
  </si>
  <si>
    <t>電動動力技術部</t>
  </si>
  <si>
    <t>新竹縣竹東鎮中興路4段195號58館200室 ,31040</t>
  </si>
  <si>
    <t>lin0141@itri.org.tw</t>
  </si>
  <si>
    <t>www.itri.org.tw</t>
  </si>
  <si>
    <t>a120584560</t>
  </si>
  <si>
    <t>吳靜玫</t>
  </si>
  <si>
    <t>靜玫</t>
  </si>
  <si>
    <t>吳</t>
  </si>
  <si>
    <t>威陞環境科技有限公司</t>
  </si>
  <si>
    <t>經理</t>
  </si>
  <si>
    <t>台北縣淡水鎮中正東路2段29-1號7樓(安泰登峰大樓B棟) ,251</t>
  </si>
  <si>
    <t>02-2624-1717分機12</t>
  </si>
  <si>
    <t>02-2624-1212</t>
  </si>
  <si>
    <t>0930-895718</t>
  </si>
  <si>
    <t>wuchlngmei689@gmail.com</t>
  </si>
  <si>
    <t>a120584561</t>
  </si>
  <si>
    <t>陳世偉</t>
  </si>
  <si>
    <t>世偉</t>
  </si>
  <si>
    <t>陳</t>
  </si>
  <si>
    <t>桃園縣政府環境保護局</t>
  </si>
  <si>
    <t>局長</t>
  </si>
  <si>
    <t>桃園市縣府路1號11樓</t>
  </si>
  <si>
    <t>(03)3354988</t>
  </si>
  <si>
    <t>(03)3388254</t>
  </si>
  <si>
    <t>weichen@tyepb.gov.tw</t>
  </si>
  <si>
    <t>www.tyepb.gov.tw</t>
  </si>
  <si>
    <t>a120584562</t>
  </si>
  <si>
    <t>朱若君</t>
  </si>
  <si>
    <t>若君</t>
  </si>
  <si>
    <t>朱</t>
  </si>
  <si>
    <t>科長</t>
  </si>
  <si>
    <t>桃園市縣府路1號10樓</t>
  </si>
  <si>
    <t>(03)3386021分機201</t>
  </si>
  <si>
    <t>(03)3313906</t>
  </si>
  <si>
    <t>jcchu@tyepb.gov.tw</t>
  </si>
  <si>
    <t>a120584563</t>
  </si>
  <si>
    <t>陳彥榕</t>
  </si>
  <si>
    <t>彥榕</t>
  </si>
  <si>
    <t>綠鑽股份有限公司</t>
  </si>
  <si>
    <t>新北市土城區中央路3段</t>
  </si>
  <si>
    <t>2268-3687</t>
  </si>
  <si>
    <t>yannrong@126.com</t>
  </si>
  <si>
    <t>www.gdp-tech.com</t>
  </si>
  <si>
    <t>a120584564</t>
  </si>
  <si>
    <t>王柏升</t>
  </si>
  <si>
    <t>柏升</t>
  </si>
  <si>
    <t>王</t>
  </si>
  <si>
    <t>米亞網路科技股份有限公司</t>
  </si>
  <si>
    <t>執行長</t>
  </si>
  <si>
    <t>台北市內湖區瑞光路513巷26號6樓之一 ,114</t>
  </si>
  <si>
    <t>www.meeyainc.com</t>
  </si>
  <si>
    <t>a120584565</t>
  </si>
  <si>
    <t>黃建豪</t>
  </si>
  <si>
    <t>建豪</t>
  </si>
  <si>
    <t>黃</t>
  </si>
  <si>
    <t>中華汽車工業股1兮宥限答司</t>
  </si>
  <si>
    <t>業務部</t>
  </si>
  <si>
    <t>桃園縣楊梅市秀3里秀才路618號 ,326</t>
  </si>
  <si>
    <t>(03)478-3191轉2278</t>
  </si>
  <si>
    <t>(03)485-8579</t>
  </si>
  <si>
    <t>michael_h@china-motor.com</t>
  </si>
  <si>
    <t>a120584566</t>
  </si>
  <si>
    <t>蔡文田</t>
  </si>
  <si>
    <t>文田</t>
  </si>
  <si>
    <t>蔡</t>
  </si>
  <si>
    <t>杜卡動力股份有限公司</t>
  </si>
  <si>
    <t>總經理</t>
  </si>
  <si>
    <t>台北縣中和市中山路二段97號 ,235</t>
  </si>
  <si>
    <t>0910-188-993</t>
  </si>
  <si>
    <t>wentien@livemail.com</t>
  </si>
  <si>
    <t>a120584567</t>
  </si>
  <si>
    <t>陳建昌</t>
  </si>
  <si>
    <t>建昌</t>
  </si>
  <si>
    <t>均豪精密工業股份有限公司</t>
  </si>
  <si>
    <t>處長</t>
  </si>
  <si>
    <t>自動化事業處-系統工程處</t>
  </si>
  <si>
    <t>台中縣大雅鄉科雅西路28號 ,428</t>
  </si>
  <si>
    <t>+886-4-2565-8866ext.9+6601</t>
  </si>
  <si>
    <t>georgechen@gpmcorp.com.tw</t>
  </si>
  <si>
    <t>www.gpmcorp.com.tw</t>
  </si>
  <si>
    <t>a120584568</t>
  </si>
  <si>
    <t>曾鑫城</t>
  </si>
  <si>
    <t>鑫城</t>
  </si>
  <si>
    <t>曾</t>
  </si>
  <si>
    <t>中華汽車工業股份宥限苔司</t>
  </si>
  <si>
    <t>服務部</t>
  </si>
  <si>
    <t>桃園縣楊梅市秀才里秀才路618號 ,326</t>
  </si>
  <si>
    <t>(03)478-3191轉2220</t>
  </si>
  <si>
    <t>(03)485-8564</t>
  </si>
  <si>
    <t>0919-974877</t>
  </si>
  <si>
    <t>900113@china-motor.com</t>
  </si>
  <si>
    <t>a120584569</t>
  </si>
  <si>
    <t>吳錦鑾</t>
  </si>
  <si>
    <t>錦鑾</t>
  </si>
  <si>
    <t>財團法人台灣電子檢驗中心</t>
  </si>
  <si>
    <t>組長</t>
  </si>
  <si>
    <t>電子技術試驗部測試服務課</t>
  </si>
  <si>
    <t>桃園縣龜山鄉文明路29巷8號 ,33383</t>
  </si>
  <si>
    <t>+886-3-328-0026ext:157</t>
  </si>
  <si>
    <t>joy@etc.org.tw</t>
  </si>
  <si>
    <t>www.etc.org.tw</t>
  </si>
  <si>
    <t>a120584570</t>
  </si>
  <si>
    <t>陳信吉</t>
  </si>
  <si>
    <t>信吉</t>
  </si>
  <si>
    <t>博士</t>
  </si>
  <si>
    <t>產品安全試驗部安全一課專案組</t>
  </si>
  <si>
    <t>(03)328-0026轉561</t>
  </si>
  <si>
    <t>(03)327-6175</t>
  </si>
  <si>
    <t>anderson.chen@etc.org.tw</t>
  </si>
  <si>
    <t>a120584571</t>
  </si>
  <si>
    <t>劉翠萍</t>
  </si>
  <si>
    <t>翠萍</t>
  </si>
  <si>
    <t>劉</t>
  </si>
  <si>
    <t>專案經理</t>
  </si>
  <si>
    <t>服務業科技應用中心</t>
  </si>
  <si>
    <t>台北市和平東路2段106號7樓 ,10622</t>
  </si>
  <si>
    <t>kelly.tpliu@itri.org.tw</t>
  </si>
  <si>
    <t>a120584572</t>
  </si>
  <si>
    <t>王兆武</t>
  </si>
  <si>
    <t>兆武</t>
  </si>
  <si>
    <t>AZUQE慶燁科技股份有限公司</t>
  </si>
  <si>
    <t>顧問</t>
  </si>
  <si>
    <t>台北市中正區重慶南路一段75號5樓 ,10045</t>
  </si>
  <si>
    <t>+886-2-2331-8866分機:306</t>
  </si>
  <si>
    <t>orson@aitc.com.tw</t>
  </si>
  <si>
    <t>a120584573</t>
  </si>
  <si>
    <t>劉博叉</t>
  </si>
  <si>
    <t>博叉</t>
  </si>
  <si>
    <t>三陽工業股份有限公司</t>
  </si>
  <si>
    <t>技術經理</t>
  </si>
  <si>
    <t>研發中心發展室</t>
  </si>
  <si>
    <t>新竹縣新豐鄉上坑村2鄰坑子0184號</t>
  </si>
  <si>
    <t>(03)557-6788轉2285-2202</t>
  </si>
  <si>
    <t>(03)557-7202</t>
  </si>
  <si>
    <t>bhd@sym.com.tw</t>
  </si>
  <si>
    <t>a120584574</t>
  </si>
  <si>
    <t>楊雨霖</t>
  </si>
  <si>
    <t>雨霖</t>
  </si>
  <si>
    <t>楊</t>
  </si>
  <si>
    <t>中華汽車工業股份有限公司</t>
  </si>
  <si>
    <t>副理</t>
  </si>
  <si>
    <t>EM營業管理組</t>
  </si>
  <si>
    <t>桃園縣楊梅鎮秀3里秀才路618號 ,326</t>
  </si>
  <si>
    <t>(03)478-3191轉3554</t>
  </si>
  <si>
    <t>(03)485-8565</t>
  </si>
  <si>
    <t>921727@china-motor.com</t>
  </si>
  <si>
    <t>a120584575</t>
  </si>
  <si>
    <t>許耿豪</t>
  </si>
  <si>
    <t>耿豪</t>
  </si>
  <si>
    <t>許</t>
  </si>
  <si>
    <t>業務經理</t>
  </si>
  <si>
    <t>+886-2-2331-8866分機:307</t>
  </si>
  <si>
    <t>isaac@aitc.com.tw</t>
  </si>
  <si>
    <t>a120584576</t>
  </si>
  <si>
    <t>顏豪呈</t>
  </si>
  <si>
    <t>豪呈</t>
  </si>
  <si>
    <t>顏</t>
  </si>
  <si>
    <t>和春技術學院</t>
  </si>
  <si>
    <t>技術合作處處長</t>
  </si>
  <si>
    <t>電機工程系</t>
  </si>
  <si>
    <t>高雄市大寮區琉球里農場路1-10號 ,831</t>
  </si>
  <si>
    <t>(07)7889888轉3157或2800</t>
  </si>
  <si>
    <t>(07)7887851</t>
  </si>
  <si>
    <t>0921-228254</t>
  </si>
  <si>
    <t>yen@center.fotech.edu.tw</t>
  </si>
  <si>
    <t>a120584577</t>
  </si>
  <si>
    <t>吳德麟</t>
  </si>
  <si>
    <t>德麟</t>
  </si>
  <si>
    <t>美聯能源科技股份有限公司</t>
  </si>
  <si>
    <t>大中華區發展總監</t>
  </si>
  <si>
    <t>能源事業部</t>
  </si>
  <si>
    <t>台北市中正區羅斯福路二段9號8樓之4</t>
  </si>
  <si>
    <t>wu7421@yahoo.com.tw</t>
  </si>
  <si>
    <t>www.archbank.com.tw</t>
  </si>
  <si>
    <t>a120584578</t>
  </si>
  <si>
    <t>吳麗香</t>
  </si>
  <si>
    <t>麗香</t>
  </si>
  <si>
    <t>民眾日報</t>
  </si>
  <si>
    <t>記者</t>
  </si>
  <si>
    <t>財經新聞中心</t>
  </si>
  <si>
    <t>高雄市苓雅區新光路38號31樓之3</t>
  </si>
  <si>
    <t>07-269-2121</t>
  </si>
  <si>
    <t>07-269-2685</t>
  </si>
  <si>
    <t>0936-662-452</t>
  </si>
  <si>
    <t>commons911ogmaii</t>
  </si>
  <si>
    <t>a120584579</t>
  </si>
  <si>
    <t>張耀仁</t>
  </si>
  <si>
    <t>耀仁</t>
  </si>
  <si>
    <t>潤亨國際股份有限公司</t>
  </si>
  <si>
    <t>業務總監</t>
  </si>
  <si>
    <t>台北市大安區忠孝東路四段325號12樓 ,10696</t>
  </si>
  <si>
    <t>(02)8772-0376</t>
  </si>
  <si>
    <t>(02)8772-7009</t>
  </si>
  <si>
    <t>0932-328-749</t>
  </si>
  <si>
    <t>bluesea108@yahoo.com</t>
  </si>
  <si>
    <t>a120584580</t>
  </si>
  <si>
    <t>王德鈐</t>
  </si>
  <si>
    <t>德鈐</t>
  </si>
  <si>
    <t>聚興股份有限公司</t>
  </si>
  <si>
    <t>台北縣土城市中央路四段37巷4號1樓</t>
  </si>
  <si>
    <t>02-2268-7872</t>
  </si>
  <si>
    <t>02-2268-7862</t>
  </si>
  <si>
    <t>0932-240559</t>
  </si>
  <si>
    <t>tom@jvt.com.tw</t>
  </si>
  <si>
    <t>a120584581</t>
  </si>
  <si>
    <t>劉碧珠</t>
  </si>
  <si>
    <t>碧</t>
  </si>
  <si>
    <t>動能科技股份-有限公司</t>
  </si>
  <si>
    <t>協理</t>
  </si>
  <si>
    <t>行銷部</t>
  </si>
  <si>
    <t>台中市台中工業區諂路210號6樓</t>
  </si>
  <si>
    <t>04-2355-2288</t>
  </si>
  <si>
    <t>beatrice.liu@exa.com.tw</t>
  </si>
  <si>
    <t>www.exa.com.tw</t>
  </si>
  <si>
    <t>a120584582</t>
  </si>
  <si>
    <t>林炳明</t>
  </si>
  <si>
    <t>炳明</t>
  </si>
  <si>
    <t>鋰電池可靠度設計研究室研究主任</t>
  </si>
  <si>
    <t>儲能材料及技術研究組</t>
  </si>
  <si>
    <t>新竹縣竹東鎮中興路4段195號77館 ,31040</t>
  </si>
  <si>
    <t>bmlin@itri.org.tw</t>
  </si>
  <si>
    <t>a120584583</t>
  </si>
  <si>
    <t>adams</t>
  </si>
  <si>
    <t>abrams</t>
  </si>
  <si>
    <t>acton</t>
  </si>
  <si>
    <t>123-45-6789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</si>
</sst>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b/>
      <sz val="8"/>
      <color rgb="FFFF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topLeftCell="A25" workbookViewId="0">
      <selection activeCell="D37" sqref="D37"/>
    </sheetView>
  </sheetViews>
  <sheetFormatPr defaultRowHeight="15.7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G3" t="s">
        <v>31</v>
      </c>
      <c r="H3" t="s">
        <v>32</v>
      </c>
      <c r="J3" t="s">
        <v>33</v>
      </c>
      <c r="K3">
        <v>13392375329</v>
      </c>
      <c r="L3" t="s">
        <v>34</v>
      </c>
      <c r="N3" t="s">
        <v>35</v>
      </c>
    </row>
    <row r="4" spans="1:14">
      <c r="A4" t="s">
        <v>36</v>
      </c>
      <c r="B4" t="s">
        <v>37</v>
      </c>
      <c r="C4" t="s">
        <v>38</v>
      </c>
      <c r="D4" t="s">
        <v>39</v>
      </c>
      <c r="E4" t="s">
        <v>40</v>
      </c>
      <c r="G4" t="s">
        <v>41</v>
      </c>
      <c r="H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</row>
    <row r="5" spans="1:14">
      <c r="A5" t="s">
        <v>48</v>
      </c>
      <c r="B5" t="s">
        <v>49</v>
      </c>
      <c r="C5" t="s">
        <v>50</v>
      </c>
      <c r="D5" t="s">
        <v>51</v>
      </c>
      <c r="F5" t="s">
        <v>52</v>
      </c>
      <c r="G5" t="s">
        <v>53</v>
      </c>
      <c r="H5">
        <v>88635915932</v>
      </c>
      <c r="J5">
        <v>88635820452</v>
      </c>
      <c r="L5" t="s">
        <v>54</v>
      </c>
      <c r="N5" t="s">
        <v>55</v>
      </c>
    </row>
    <row r="6" spans="1:14">
      <c r="A6" t="s">
        <v>56</v>
      </c>
      <c r="B6" t="s">
        <v>57</v>
      </c>
      <c r="C6" t="s">
        <v>50</v>
      </c>
      <c r="D6" t="s">
        <v>51</v>
      </c>
      <c r="F6" t="s">
        <v>58</v>
      </c>
      <c r="G6" t="s">
        <v>59</v>
      </c>
      <c r="H6">
        <v>88635915813</v>
      </c>
      <c r="J6">
        <v>88635820452</v>
      </c>
      <c r="L6" t="s">
        <v>60</v>
      </c>
      <c r="M6" t="s">
        <v>61</v>
      </c>
      <c r="N6" t="s">
        <v>62</v>
      </c>
    </row>
    <row r="7" spans="1:14">
      <c r="A7" t="s">
        <v>63</v>
      </c>
      <c r="B7" t="s">
        <v>64</v>
      </c>
      <c r="C7" t="s">
        <v>65</v>
      </c>
      <c r="D7" t="s">
        <v>66</v>
      </c>
      <c r="E7" t="s">
        <v>67</v>
      </c>
      <c r="G7" t="s">
        <v>68</v>
      </c>
      <c r="H7" t="s">
        <v>69</v>
      </c>
      <c r="J7" t="s">
        <v>70</v>
      </c>
      <c r="K7" t="s">
        <v>71</v>
      </c>
      <c r="L7" t="s">
        <v>72</v>
      </c>
      <c r="N7" t="s">
        <v>73</v>
      </c>
    </row>
    <row r="8" spans="1:14">
      <c r="A8" t="s">
        <v>74</v>
      </c>
      <c r="B8" t="s">
        <v>75</v>
      </c>
      <c r="C8" t="s">
        <v>76</v>
      </c>
      <c r="D8" t="s">
        <v>77</v>
      </c>
      <c r="E8" t="s">
        <v>78</v>
      </c>
      <c r="G8" t="s">
        <v>79</v>
      </c>
      <c r="H8" t="s">
        <v>80</v>
      </c>
      <c r="J8" t="s">
        <v>81</v>
      </c>
      <c r="L8" t="s">
        <v>82</v>
      </c>
      <c r="M8" t="s">
        <v>83</v>
      </c>
      <c r="N8" t="s">
        <v>84</v>
      </c>
    </row>
    <row r="9" spans="1:14">
      <c r="A9" t="s">
        <v>85</v>
      </c>
      <c r="B9" t="s">
        <v>86</v>
      </c>
      <c r="C9" t="s">
        <v>87</v>
      </c>
      <c r="D9" t="s">
        <v>77</v>
      </c>
      <c r="E9" t="s">
        <v>88</v>
      </c>
      <c r="G9" t="s">
        <v>89</v>
      </c>
      <c r="H9" t="s">
        <v>90</v>
      </c>
      <c r="J9" t="s">
        <v>91</v>
      </c>
      <c r="K9">
        <v>926376659</v>
      </c>
      <c r="L9" t="s">
        <v>92</v>
      </c>
      <c r="N9" t="s">
        <v>93</v>
      </c>
    </row>
    <row r="10" spans="1:14">
      <c r="A10" t="s">
        <v>94</v>
      </c>
      <c r="B10" t="s">
        <v>95</v>
      </c>
      <c r="C10" t="s">
        <v>76</v>
      </c>
      <c r="D10" t="s">
        <v>96</v>
      </c>
      <c r="G10" t="s">
        <v>97</v>
      </c>
      <c r="H10" t="s">
        <v>98</v>
      </c>
      <c r="K10">
        <v>936055485</v>
      </c>
      <c r="L10" t="s">
        <v>99</v>
      </c>
      <c r="M10" t="s">
        <v>100</v>
      </c>
      <c r="N10" t="s">
        <v>101</v>
      </c>
    </row>
    <row r="11" spans="1:14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G11" t="s">
        <v>107</v>
      </c>
      <c r="H11">
        <f>886-921-990-659</f>
        <v>-1684</v>
      </c>
      <c r="M11" t="s">
        <v>108</v>
      </c>
      <c r="N11" t="s">
        <v>109</v>
      </c>
    </row>
    <row r="12" spans="1:14">
      <c r="A12" t="s">
        <v>110</v>
      </c>
      <c r="B12" t="s">
        <v>111</v>
      </c>
      <c r="C12" t="s">
        <v>112</v>
      </c>
      <c r="D12" t="s">
        <v>113</v>
      </c>
      <c r="F12" t="s">
        <v>114</v>
      </c>
      <c r="G12" t="s">
        <v>115</v>
      </c>
      <c r="H12" t="s">
        <v>116</v>
      </c>
      <c r="J12" t="s">
        <v>117</v>
      </c>
      <c r="L12" t="s">
        <v>118</v>
      </c>
      <c r="N12" t="s">
        <v>119</v>
      </c>
    </row>
    <row r="13" spans="1:14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G13" t="s">
        <v>125</v>
      </c>
      <c r="H13">
        <f>886-2-2248-1129</f>
        <v>-2493</v>
      </c>
      <c r="J13">
        <f>886-2-2248-8910</f>
        <v>-10274</v>
      </c>
      <c r="K13" t="s">
        <v>126</v>
      </c>
      <c r="L13" t="s">
        <v>127</v>
      </c>
      <c r="N13" t="s">
        <v>128</v>
      </c>
    </row>
    <row r="14" spans="1:14">
      <c r="A14" t="s">
        <v>129</v>
      </c>
      <c r="B14" t="s">
        <v>130</v>
      </c>
      <c r="C14" t="s">
        <v>76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J14">
        <f>886-4-2565-8877</f>
        <v>-10560</v>
      </c>
      <c r="K14">
        <f>886-919-653-158</f>
        <v>-844</v>
      </c>
      <c r="L14" t="s">
        <v>136</v>
      </c>
      <c r="M14" t="s">
        <v>137</v>
      </c>
      <c r="N14" t="s">
        <v>138</v>
      </c>
    </row>
    <row r="15" spans="1:14">
      <c r="A15" t="s">
        <v>139</v>
      </c>
      <c r="B15" t="s">
        <v>140</v>
      </c>
      <c r="C15" t="s">
        <v>141</v>
      </c>
      <c r="D15" t="s">
        <v>142</v>
      </c>
      <c r="E15" t="s">
        <v>67</v>
      </c>
      <c r="F15" t="s">
        <v>143</v>
      </c>
      <c r="G15" t="s">
        <v>144</v>
      </c>
      <c r="H15" t="s">
        <v>145</v>
      </c>
      <c r="J15" t="s">
        <v>146</v>
      </c>
      <c r="K15" t="s">
        <v>147</v>
      </c>
      <c r="L15" t="s">
        <v>148</v>
      </c>
      <c r="N15" t="s">
        <v>149</v>
      </c>
    </row>
    <row r="16" spans="1:14">
      <c r="A16" t="s">
        <v>150</v>
      </c>
      <c r="B16" t="s">
        <v>151</v>
      </c>
      <c r="C16" t="s">
        <v>65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J16">
        <f>886-3-327-6127</f>
        <v>-5571</v>
      </c>
      <c r="L16" t="s">
        <v>157</v>
      </c>
      <c r="M16" t="s">
        <v>158</v>
      </c>
      <c r="N16" t="s">
        <v>159</v>
      </c>
    </row>
    <row r="17" spans="1:14">
      <c r="A17" t="s">
        <v>160</v>
      </c>
      <c r="B17" t="s">
        <v>161</v>
      </c>
      <c r="C17" t="s">
        <v>76</v>
      </c>
      <c r="D17" t="s">
        <v>152</v>
      </c>
      <c r="E17" t="s">
        <v>162</v>
      </c>
      <c r="F17" t="s">
        <v>163</v>
      </c>
      <c r="G17" t="s">
        <v>155</v>
      </c>
      <c r="H17" t="s">
        <v>164</v>
      </c>
      <c r="J17" t="s">
        <v>165</v>
      </c>
      <c r="L17" t="s">
        <v>166</v>
      </c>
      <c r="M17" t="s">
        <v>158</v>
      </c>
      <c r="N17" t="s">
        <v>167</v>
      </c>
    </row>
    <row r="18" spans="1:14">
      <c r="A18" t="s">
        <v>168</v>
      </c>
      <c r="B18" t="s">
        <v>169</v>
      </c>
      <c r="C18" t="s">
        <v>170</v>
      </c>
      <c r="D18" t="s">
        <v>51</v>
      </c>
      <c r="E18" t="s">
        <v>171</v>
      </c>
      <c r="F18" t="s">
        <v>172</v>
      </c>
      <c r="G18" t="s">
        <v>173</v>
      </c>
      <c r="H18">
        <v>886227377325</v>
      </c>
      <c r="J18">
        <v>886227377349</v>
      </c>
      <c r="K18">
        <v>927932502</v>
      </c>
      <c r="L18" t="s">
        <v>174</v>
      </c>
      <c r="M18" t="s">
        <v>61</v>
      </c>
      <c r="N18" t="s">
        <v>175</v>
      </c>
    </row>
    <row r="19" spans="1:14">
      <c r="A19" t="s">
        <v>176</v>
      </c>
      <c r="B19" t="s">
        <v>177</v>
      </c>
      <c r="C19" t="s">
        <v>104</v>
      </c>
      <c r="D19" t="s">
        <v>178</v>
      </c>
      <c r="E19" t="s">
        <v>179</v>
      </c>
      <c r="G19" t="s">
        <v>180</v>
      </c>
      <c r="H19" t="s">
        <v>181</v>
      </c>
      <c r="J19">
        <f>886-2-2370-1212</f>
        <v>-2698</v>
      </c>
      <c r="L19" t="s">
        <v>182</v>
      </c>
      <c r="N19" t="s">
        <v>183</v>
      </c>
    </row>
    <row r="20" spans="1:14">
      <c r="A20" t="s">
        <v>184</v>
      </c>
      <c r="B20" t="s">
        <v>185</v>
      </c>
      <c r="C20" t="s">
        <v>170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J20" t="s">
        <v>191</v>
      </c>
      <c r="L20" t="s">
        <v>192</v>
      </c>
      <c r="N20" t="s">
        <v>193</v>
      </c>
    </row>
    <row r="21" spans="1:14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J21" t="s">
        <v>202</v>
      </c>
      <c r="L21" t="s">
        <v>203</v>
      </c>
      <c r="N21" t="s">
        <v>204</v>
      </c>
    </row>
    <row r="22" spans="1:14">
      <c r="A22" t="s">
        <v>205</v>
      </c>
      <c r="B22" t="s">
        <v>206</v>
      </c>
      <c r="C22" t="s">
        <v>207</v>
      </c>
      <c r="D22" t="s">
        <v>178</v>
      </c>
      <c r="E22" t="s">
        <v>208</v>
      </c>
      <c r="G22" t="s">
        <v>180</v>
      </c>
      <c r="H22" t="s">
        <v>209</v>
      </c>
      <c r="J22">
        <f>886-2-2370-1212</f>
        <v>-2698</v>
      </c>
      <c r="L22" t="s">
        <v>210</v>
      </c>
      <c r="N22" t="s">
        <v>211</v>
      </c>
    </row>
    <row r="23" spans="1:14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 t="s">
        <v>219</v>
      </c>
      <c r="J23" t="s">
        <v>220</v>
      </c>
      <c r="K23" t="s">
        <v>221</v>
      </c>
      <c r="L23" t="s">
        <v>222</v>
      </c>
      <c r="N23" t="s">
        <v>223</v>
      </c>
    </row>
    <row r="24" spans="1:14">
      <c r="A24" t="s">
        <v>224</v>
      </c>
      <c r="B24" t="s">
        <v>225</v>
      </c>
      <c r="C24" t="s">
        <v>65</v>
      </c>
      <c r="D24" t="s">
        <v>226</v>
      </c>
      <c r="E24" t="s">
        <v>227</v>
      </c>
      <c r="F24" t="s">
        <v>228</v>
      </c>
      <c r="G24" t="s">
        <v>229</v>
      </c>
      <c r="H24">
        <f>886-2-2396-7238</f>
        <v>-8750</v>
      </c>
      <c r="J24">
        <f>886-2-2396-7282</f>
        <v>-8794</v>
      </c>
      <c r="K24">
        <f>886-933-453-393</f>
        <v>-893</v>
      </c>
      <c r="L24" t="s">
        <v>230</v>
      </c>
      <c r="M24" t="s">
        <v>231</v>
      </c>
      <c r="N24" t="s">
        <v>232</v>
      </c>
    </row>
    <row r="25" spans="1:14">
      <c r="A25" t="s">
        <v>233</v>
      </c>
      <c r="B25" t="s">
        <v>234</v>
      </c>
      <c r="C25" t="s">
        <v>65</v>
      </c>
      <c r="D25" t="s">
        <v>235</v>
      </c>
      <c r="E25" t="s">
        <v>236</v>
      </c>
      <c r="F25" t="s">
        <v>237</v>
      </c>
      <c r="G25" t="s">
        <v>238</v>
      </c>
      <c r="H25" t="s">
        <v>239</v>
      </c>
      <c r="J25" t="s">
        <v>240</v>
      </c>
      <c r="K25" t="s">
        <v>241</v>
      </c>
      <c r="L25" t="s">
        <v>242</v>
      </c>
      <c r="N25" t="s">
        <v>243</v>
      </c>
    </row>
    <row r="26" spans="1:14">
      <c r="A26" t="s">
        <v>244</v>
      </c>
      <c r="B26" t="s">
        <v>245</v>
      </c>
      <c r="C26" t="s">
        <v>28</v>
      </c>
      <c r="D26" t="s">
        <v>246</v>
      </c>
      <c r="E26" t="s">
        <v>247</v>
      </c>
      <c r="G26" t="s">
        <v>248</v>
      </c>
      <c r="H26" t="s">
        <v>249</v>
      </c>
      <c r="J26" t="s">
        <v>250</v>
      </c>
      <c r="K26" t="s">
        <v>251</v>
      </c>
      <c r="L26" t="s">
        <v>252</v>
      </c>
      <c r="N26" t="s">
        <v>253</v>
      </c>
    </row>
    <row r="27" spans="1:14">
      <c r="A27" t="s">
        <v>254</v>
      </c>
      <c r="B27" t="s">
        <v>255</v>
      </c>
      <c r="C27" t="s">
        <v>104</v>
      </c>
      <c r="D27" t="s">
        <v>256</v>
      </c>
      <c r="G27" t="s">
        <v>257</v>
      </c>
      <c r="H27" t="s">
        <v>258</v>
      </c>
      <c r="J27" t="s">
        <v>259</v>
      </c>
      <c r="K27" t="s">
        <v>260</v>
      </c>
      <c r="L27" t="s">
        <v>261</v>
      </c>
      <c r="N27" t="s">
        <v>262</v>
      </c>
    </row>
    <row r="28" spans="1:14">
      <c r="A28" t="s">
        <v>263</v>
      </c>
      <c r="B28" t="s">
        <v>264</v>
      </c>
      <c r="C28" t="s">
        <v>170</v>
      </c>
      <c r="D28" t="s">
        <v>265</v>
      </c>
      <c r="E28" t="s">
        <v>266</v>
      </c>
      <c r="F28" t="s">
        <v>267</v>
      </c>
      <c r="G28" t="s">
        <v>268</v>
      </c>
      <c r="H28">
        <f>886-972726358</f>
        <v>-972725472</v>
      </c>
      <c r="J28" t="s">
        <v>269</v>
      </c>
      <c r="L28" t="s">
        <v>270</v>
      </c>
      <c r="M28" t="s">
        <v>271</v>
      </c>
      <c r="N28" t="s">
        <v>272</v>
      </c>
    </row>
    <row r="29" spans="1:14">
      <c r="A29" t="s">
        <v>273</v>
      </c>
      <c r="B29" t="s">
        <v>274</v>
      </c>
      <c r="C29" t="s">
        <v>50</v>
      </c>
      <c r="D29" t="s">
        <v>51</v>
      </c>
      <c r="E29" t="s">
        <v>275</v>
      </c>
      <c r="F29" t="s">
        <v>276</v>
      </c>
      <c r="G29" t="s">
        <v>277</v>
      </c>
      <c r="H29">
        <v>963355272</v>
      </c>
      <c r="J29">
        <v>88635820039</v>
      </c>
      <c r="L29" t="s">
        <v>278</v>
      </c>
      <c r="M29" t="s">
        <v>61</v>
      </c>
      <c r="N29" t="s">
        <v>279</v>
      </c>
    </row>
    <row r="31" spans="1:14">
      <c r="B31" s="1" t="s">
        <v>280</v>
      </c>
      <c r="D31" s="1">
        <v>97567.9</v>
      </c>
    </row>
    <row r="32" spans="1:14">
      <c r="B32" s="1" t="s">
        <v>281</v>
      </c>
      <c r="D32" s="1">
        <v>248851.63</v>
      </c>
    </row>
    <row r="33" spans="2:4">
      <c r="B33" s="1" t="s">
        <v>282</v>
      </c>
      <c r="D33" s="1">
        <v>38145.58</v>
      </c>
    </row>
    <row r="36" spans="2:4">
      <c r="D36" t="s">
        <v>283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活頁簿1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Title</dc:title>
  <dc:subject>Test Subject</dc:subject>
  <dc:creator>Casey</dc:creator>
  <cp:keywords>Test Tag</cp:keywords>
  <dc:description>Some comments.</dc:description>
  <cp:lastModifiedBy>Denis Katsebov</cp:lastModifiedBy>
  <dcterms:created xsi:type="dcterms:W3CDTF">2011-11-09T04:47:11Z</dcterms:created>
  <dcterms:modified xsi:type="dcterms:W3CDTF">2013-09-11T09:21:58Z</dcterms:modified>
  <cp:category>Test Categories</cp:category>
</cp:coreProperties>
</file>